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\Documents\"/>
    </mc:Choice>
  </mc:AlternateContent>
  <xr:revisionPtr revIDLastSave="0" documentId="8_{0F742427-61DA-407A-B805-5413DE2A9EE4}" xr6:coauthVersionLast="47" xr6:coauthVersionMax="47" xr10:uidLastSave="{00000000-0000-0000-0000-000000000000}"/>
  <bookViews>
    <workbookView xWindow="-120" yWindow="-120" windowWidth="29040" windowHeight="15840" xr2:uid="{8A59B222-F576-4F09-A1DE-71D1123C759A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8" i="1" l="1"/>
  <c r="AA5" i="1"/>
  <c r="AA4" i="1"/>
</calcChain>
</file>

<file path=xl/sharedStrings.xml><?xml version="1.0" encoding="utf-8"?>
<sst xmlns="http://schemas.openxmlformats.org/spreadsheetml/2006/main" count="148" uniqueCount="89">
  <si>
    <t>user_admin</t>
  </si>
  <si>
    <t>user_mngr</t>
  </si>
  <si>
    <t>user_acc</t>
  </si>
  <si>
    <t>user_logs</t>
  </si>
  <si>
    <t>Shipping call/Purchase order and plan for loading</t>
  </si>
  <si>
    <t>Drafts Invoice + packing list + Bill of lading</t>
  </si>
  <si>
    <t>Customs clerance references</t>
  </si>
  <si>
    <t>Status of getting bill of lading</t>
  </si>
  <si>
    <t>Status of payment shipment's Charge/THC</t>
  </si>
  <si>
    <t>Status of certificate of origin</t>
  </si>
  <si>
    <t>Status of phyto certificate</t>
  </si>
  <si>
    <t>Status of sending document drafts for confirmation</t>
  </si>
  <si>
    <t>Payment tracking</t>
  </si>
  <si>
    <t>Docs Originals</t>
  </si>
  <si>
    <t>Telex Released/Original BL</t>
  </si>
  <si>
    <t>ID of SC/PO</t>
  </si>
  <si>
    <t>Date of SC / PO</t>
  </si>
  <si>
    <t>SC / PO made by user:</t>
  </si>
  <si>
    <t>For Buyer</t>
  </si>
  <si>
    <t>Number of booking</t>
  </si>
  <si>
    <t>Shipping Line</t>
  </si>
  <si>
    <t>Port of Loading</t>
  </si>
  <si>
    <t>Place of Warehouse</t>
  </si>
  <si>
    <t>Loading plan and loading descriptions</t>
  </si>
  <si>
    <t>Shipper / Exporter</t>
  </si>
  <si>
    <t>Consignee</t>
  </si>
  <si>
    <t>ETD</t>
  </si>
  <si>
    <t>Invoice and date of invoice</t>
  </si>
  <si>
    <t>Total value of Invoice</t>
  </si>
  <si>
    <t>Date of drafts</t>
  </si>
  <si>
    <t>Bill of lading number</t>
  </si>
  <si>
    <t>Date of customs clerance</t>
  </si>
  <si>
    <t>Number of customs clerance</t>
  </si>
  <si>
    <t>Status of customs clerance (red/yellow/green)</t>
  </si>
  <si>
    <t>(boolean)</t>
  </si>
  <si>
    <t>Date of payment</t>
  </si>
  <si>
    <t>Prepayment amount</t>
  </si>
  <si>
    <t>Left payment amount</t>
  </si>
  <si>
    <t>Status of originals</t>
  </si>
  <si>
    <t>Date of sending originals</t>
  </si>
  <si>
    <t>Tuan</t>
  </si>
  <si>
    <t>Element</t>
  </si>
  <si>
    <t>YMLAN6546547123</t>
  </si>
  <si>
    <t>Yang Ming</t>
  </si>
  <si>
    <t>Haiphong</t>
  </si>
  <si>
    <t>Phu Cu</t>
  </si>
  <si>
    <t>2 K30, 2 M20 … mix 1K30 + 1M30</t>
  </si>
  <si>
    <t>Hung Phat</t>
  </si>
  <si>
    <t>Kotor</t>
  </si>
  <si>
    <t>Inv 50-1, 25/06/2026</t>
  </si>
  <si>
    <t>YSD354354</t>
  </si>
  <si>
    <t>TKHQ364545</t>
  </si>
  <si>
    <t>Green</t>
  </si>
  <si>
    <t>x</t>
  </si>
  <si>
    <t>YMLAN6546547159</t>
  </si>
  <si>
    <t>Quang Chau</t>
  </si>
  <si>
    <t>5 M20</t>
  </si>
  <si>
    <t>Inv 50-2, 25/06/2026</t>
  </si>
  <si>
    <t>YSL565434</t>
  </si>
  <si>
    <t>TKHQ364488</t>
  </si>
  <si>
    <t>Hung</t>
  </si>
  <si>
    <t>UAE</t>
  </si>
  <si>
    <t>MKLAN6546547436</t>
  </si>
  <si>
    <t>Maersk</t>
  </si>
  <si>
    <t>Nam Dinh</t>
  </si>
  <si>
    <t>4K 20 + 4M20</t>
  </si>
  <si>
    <t>An Dien</t>
  </si>
  <si>
    <t>Global Trade</t>
  </si>
  <si>
    <t>Inv 16, 27/06/2026</t>
  </si>
  <si>
    <t>BN343843</t>
  </si>
  <si>
    <t>TKHQ344354</t>
  </si>
  <si>
    <t>Hue</t>
  </si>
  <si>
    <t>Golden Banyan</t>
  </si>
  <si>
    <t>KLJAN6546543574</t>
  </si>
  <si>
    <t>APL</t>
  </si>
  <si>
    <t>1K - A10</t>
  </si>
  <si>
    <t>UK Trading Holding</t>
  </si>
  <si>
    <t>Inv 11, 28/06/2026</t>
  </si>
  <si>
    <t>KT3365434</t>
  </si>
  <si>
    <t>TKHQ768765</t>
  </si>
  <si>
    <t>Minh</t>
  </si>
  <si>
    <t>Barko</t>
  </si>
  <si>
    <t>HUBAN6546547987</t>
  </si>
  <si>
    <t>Evergreen</t>
  </si>
  <si>
    <t>3 K20</t>
  </si>
  <si>
    <t>Postera</t>
  </si>
  <si>
    <t>Inv 33, 28/06/2026</t>
  </si>
  <si>
    <t>HHH354736</t>
  </si>
  <si>
    <t>TKHQ243543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</si>
</sst>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d\-mmm\-yy;@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44" fontId="2" fillId="3" borderId="6" xfId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44" fontId="2" fillId="4" borderId="6" xfId="1" applyFont="1" applyFill="1" applyBorder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44" fontId="0" fillId="0" borderId="0" xfId="1" applyFont="1"/>
    <xf numFmtId="14" fontId="0" fillId="0" borderId="0" xfId="0" applyNumberFormat="1"/>
  </cellXfs>
  <cellStyles count="2">
    <cellStyle name="Bình thường" xfId="0" builtinId="0"/>
    <cellStyle name="Tiền tê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97A5-7285-44BE-AA57-3D3696BF6482}">
  <dimension ref="A1:AD8"/>
  <sheetViews>
    <sheetView tabSelected="1" workbookViewId="0">
      <selection activeCell="R16" sqref="R16"/>
    </sheetView>
  </sheetViews>
  <sheetFormatPr defaultRowHeight="14.25" x14ac:dyDescent="0.2"/>
  <cols>
    <col min="14" max="14" width="12.125" bestFit="1" customWidth="1"/>
    <col min="18" max="18" width="12" bestFit="1" customWidth="1"/>
  </cols>
  <sheetData>
    <row r="1" spans="1:30" x14ac:dyDescent="0.2">
      <c r="A1" s="1" t="s">
        <v>0</v>
      </c>
      <c r="B1" s="1"/>
      <c r="C1" s="1"/>
      <c r="D1" s="1"/>
      <c r="E1" s="1"/>
      <c r="F1" s="1"/>
      <c r="G1" s="1"/>
      <c r="H1" s="1"/>
      <c r="I1" s="2"/>
      <c r="J1" s="3" t="s">
        <v>1</v>
      </c>
      <c r="K1" s="4"/>
      <c r="L1" s="4"/>
      <c r="M1" s="4"/>
      <c r="N1" s="4"/>
      <c r="O1" s="4"/>
      <c r="P1" s="5"/>
      <c r="Q1" s="6" t="s">
        <v>2</v>
      </c>
      <c r="R1" s="7"/>
      <c r="S1" s="8"/>
      <c r="T1" s="9" t="s">
        <v>1</v>
      </c>
      <c r="U1" s="10" t="s">
        <v>2</v>
      </c>
      <c r="V1" s="11" t="s">
        <v>3</v>
      </c>
      <c r="W1" s="12"/>
      <c r="X1" s="10" t="s">
        <v>1</v>
      </c>
      <c r="Y1" s="6" t="s">
        <v>2</v>
      </c>
      <c r="Z1" s="7"/>
      <c r="AA1" s="8"/>
      <c r="AB1" s="3" t="s">
        <v>1</v>
      </c>
      <c r="AC1" s="4"/>
      <c r="AD1" s="5"/>
    </row>
    <row r="2" spans="1:30" ht="85.5" x14ac:dyDescent="0.2">
      <c r="A2" s="13" t="s">
        <v>4</v>
      </c>
      <c r="B2" s="13"/>
      <c r="C2" s="13"/>
      <c r="D2" s="13"/>
      <c r="E2" s="13"/>
      <c r="F2" s="13"/>
      <c r="G2" s="13"/>
      <c r="H2" s="13"/>
      <c r="I2" s="14"/>
      <c r="J2" s="15" t="s">
        <v>5</v>
      </c>
      <c r="K2" s="15"/>
      <c r="L2" s="15"/>
      <c r="M2" s="15"/>
      <c r="N2" s="15"/>
      <c r="O2" s="15"/>
      <c r="P2" s="15"/>
      <c r="Q2" s="16" t="s">
        <v>6</v>
      </c>
      <c r="R2" s="17"/>
      <c r="S2" s="18"/>
      <c r="T2" s="19" t="s">
        <v>7</v>
      </c>
      <c r="U2" s="20" t="s">
        <v>8</v>
      </c>
      <c r="V2" s="20" t="s">
        <v>9</v>
      </c>
      <c r="W2" s="20" t="s">
        <v>10</v>
      </c>
      <c r="X2" s="20" t="s">
        <v>11</v>
      </c>
      <c r="Y2" s="21" t="s">
        <v>12</v>
      </c>
      <c r="Z2" s="21"/>
      <c r="AA2" s="21"/>
      <c r="AB2" s="22" t="s">
        <v>13</v>
      </c>
      <c r="AC2" s="23"/>
      <c r="AD2" s="19" t="s">
        <v>14</v>
      </c>
    </row>
    <row r="3" spans="1:30" ht="60" x14ac:dyDescent="0.2">
      <c r="A3" s="24" t="s">
        <v>15</v>
      </c>
      <c r="B3" s="24" t="s">
        <v>16</v>
      </c>
      <c r="C3" s="25" t="s">
        <v>17</v>
      </c>
      <c r="D3" s="25" t="s">
        <v>18</v>
      </c>
      <c r="E3" s="25" t="s">
        <v>19</v>
      </c>
      <c r="F3" s="25" t="s">
        <v>20</v>
      </c>
      <c r="G3" s="25" t="s">
        <v>21</v>
      </c>
      <c r="H3" s="25" t="s">
        <v>22</v>
      </c>
      <c r="I3" s="25" t="s">
        <v>23</v>
      </c>
      <c r="J3" s="26" t="s">
        <v>24</v>
      </c>
      <c r="K3" s="26" t="s">
        <v>25</v>
      </c>
      <c r="L3" s="27" t="s">
        <v>26</v>
      </c>
      <c r="M3" s="26" t="s">
        <v>27</v>
      </c>
      <c r="N3" s="28" t="s">
        <v>28</v>
      </c>
      <c r="O3" s="27" t="s">
        <v>29</v>
      </c>
      <c r="P3" s="29" t="s">
        <v>30</v>
      </c>
      <c r="Q3" s="30" t="s">
        <v>31</v>
      </c>
      <c r="R3" s="30" t="s">
        <v>32</v>
      </c>
      <c r="S3" s="30" t="s">
        <v>33</v>
      </c>
      <c r="T3" s="29" t="s">
        <v>34</v>
      </c>
      <c r="U3" s="31" t="s">
        <v>34</v>
      </c>
      <c r="V3" s="31" t="s">
        <v>34</v>
      </c>
      <c r="W3" s="31" t="s">
        <v>34</v>
      </c>
      <c r="X3" s="31" t="s">
        <v>34</v>
      </c>
      <c r="Y3" s="32" t="s">
        <v>35</v>
      </c>
      <c r="Z3" s="33" t="s">
        <v>36</v>
      </c>
      <c r="AA3" s="33" t="s">
        <v>37</v>
      </c>
      <c r="AB3" s="29" t="s">
        <v>38</v>
      </c>
      <c r="AC3" s="27" t="s">
        <v>39</v>
      </c>
      <c r="AD3" s="29" t="s">
        <v>34</v>
      </c>
    </row>
    <row r="4" spans="1:30" x14ac:dyDescent="0.2">
      <c r="A4">
        <v>1</v>
      </c>
      <c r="B4" s="34">
        <v>46195</v>
      </c>
      <c r="C4" s="35" t="s">
        <v>40</v>
      </c>
      <c r="D4" s="35" t="s">
        <v>41</v>
      </c>
      <c r="E4" s="35" t="s">
        <v>42</v>
      </c>
      <c r="F4" s="35" t="s">
        <v>43</v>
      </c>
      <c r="G4" s="35" t="s">
        <v>44</v>
      </c>
      <c r="H4" s="35" t="s">
        <v>45</v>
      </c>
      <c r="I4" s="35" t="s">
        <v>46</v>
      </c>
      <c r="J4" s="35" t="s">
        <v>47</v>
      </c>
      <c r="K4" s="35" t="s">
        <v>48</v>
      </c>
      <c r="L4" s="34">
        <v>46208</v>
      </c>
      <c r="M4" s="35" t="s">
        <v>49</v>
      </c>
      <c r="N4" s="36">
        <v>333324</v>
      </c>
      <c r="O4" s="34">
        <v>46215</v>
      </c>
      <c r="P4" t="s">
        <v>50</v>
      </c>
      <c r="Q4" s="37">
        <v>46204</v>
      </c>
      <c r="R4" t="s">
        <v>51</v>
      </c>
      <c r="S4" t="s">
        <v>52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s="34">
        <v>46196</v>
      </c>
      <c r="Z4" s="36">
        <v>3655</v>
      </c>
      <c r="AA4" s="36">
        <f>N4-Z4</f>
        <v>329669</v>
      </c>
      <c r="AB4" t="s">
        <v>53</v>
      </c>
      <c r="AC4" s="34">
        <v>46225</v>
      </c>
      <c r="AD4" t="s">
        <v>53</v>
      </c>
    </row>
    <row r="5" spans="1:30" x14ac:dyDescent="0.2">
      <c r="A5">
        <v>2</v>
      </c>
      <c r="B5" s="34">
        <v>46198</v>
      </c>
      <c r="C5" s="35" t="s">
        <v>40</v>
      </c>
      <c r="D5" s="35" t="s">
        <v>41</v>
      </c>
      <c r="E5" s="35" t="s">
        <v>54</v>
      </c>
      <c r="F5" s="35" t="s">
        <v>43</v>
      </c>
      <c r="G5" s="35" t="s">
        <v>44</v>
      </c>
      <c r="H5" s="35" t="s">
        <v>55</v>
      </c>
      <c r="I5" s="35" t="s">
        <v>56</v>
      </c>
      <c r="J5" s="35" t="s">
        <v>47</v>
      </c>
      <c r="K5" s="35" t="s">
        <v>48</v>
      </c>
      <c r="L5" s="34">
        <v>46210</v>
      </c>
      <c r="M5" s="35" t="s">
        <v>57</v>
      </c>
      <c r="N5" s="36">
        <v>154610</v>
      </c>
      <c r="O5" s="34">
        <v>46215</v>
      </c>
      <c r="P5" t="s">
        <v>58</v>
      </c>
      <c r="Q5" s="37">
        <v>46204</v>
      </c>
      <c r="R5" t="s">
        <v>59</v>
      </c>
      <c r="S5" t="s">
        <v>52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s="34">
        <v>46198</v>
      </c>
      <c r="Z5" s="36">
        <v>4561</v>
      </c>
      <c r="AA5" s="36">
        <f t="shared" ref="AA5:AA8" si="0">N5-Z5</f>
        <v>150049</v>
      </c>
      <c r="AB5" t="s">
        <v>53</v>
      </c>
      <c r="AC5" s="34">
        <v>46225</v>
      </c>
      <c r="AD5" t="s">
        <v>53</v>
      </c>
    </row>
    <row r="6" spans="1:30" x14ac:dyDescent="0.2">
      <c r="A6">
        <v>3</v>
      </c>
      <c r="B6" s="34">
        <v>46200</v>
      </c>
      <c r="C6" s="35" t="s">
        <v>60</v>
      </c>
      <c r="D6" s="35" t="s">
        <v>61</v>
      </c>
      <c r="E6" s="35" t="s">
        <v>62</v>
      </c>
      <c r="F6" s="35" t="s">
        <v>63</v>
      </c>
      <c r="G6" s="35" t="s">
        <v>44</v>
      </c>
      <c r="H6" s="35" t="s">
        <v>64</v>
      </c>
      <c r="I6" s="35" t="s">
        <v>65</v>
      </c>
      <c r="J6" s="35" t="s">
        <v>66</v>
      </c>
      <c r="K6" s="35" t="s">
        <v>67</v>
      </c>
      <c r="L6" s="34">
        <v>46213</v>
      </c>
      <c r="M6" s="35" t="s">
        <v>68</v>
      </c>
      <c r="N6" s="36">
        <v>132154</v>
      </c>
      <c r="O6" s="34">
        <v>46216</v>
      </c>
      <c r="P6" t="s">
        <v>69</v>
      </c>
      <c r="Q6" s="37">
        <v>46204</v>
      </c>
      <c r="R6" t="s">
        <v>70</v>
      </c>
      <c r="S6" t="s">
        <v>52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s="34">
        <v>46200</v>
      </c>
      <c r="Z6" s="36">
        <v>1546</v>
      </c>
      <c r="AA6" s="36"/>
      <c r="AB6" t="s">
        <v>53</v>
      </c>
      <c r="AC6" s="34">
        <v>46225</v>
      </c>
    </row>
    <row r="7" spans="1:30" x14ac:dyDescent="0.2">
      <c r="A7">
        <v>4</v>
      </c>
      <c r="B7" s="34">
        <v>46201</v>
      </c>
      <c r="C7" s="35" t="s">
        <v>71</v>
      </c>
      <c r="D7" s="35" t="s">
        <v>72</v>
      </c>
      <c r="E7" s="35" t="s">
        <v>73</v>
      </c>
      <c r="F7" s="35" t="s">
        <v>74</v>
      </c>
      <c r="G7" s="35" t="s">
        <v>44</v>
      </c>
      <c r="H7" s="35" t="s">
        <v>64</v>
      </c>
      <c r="I7" s="35" t="s">
        <v>75</v>
      </c>
      <c r="J7" s="35" t="s">
        <v>66</v>
      </c>
      <c r="K7" s="35" t="s">
        <v>76</v>
      </c>
      <c r="L7" s="34">
        <v>46213</v>
      </c>
      <c r="M7" s="35" t="s">
        <v>77</v>
      </c>
      <c r="N7" s="36">
        <v>123466</v>
      </c>
      <c r="O7" s="34">
        <v>46217</v>
      </c>
      <c r="P7" t="s">
        <v>78</v>
      </c>
      <c r="Q7" s="37">
        <v>46204</v>
      </c>
      <c r="R7" t="s">
        <v>79</v>
      </c>
      <c r="S7" t="s">
        <v>52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s="34">
        <v>46201</v>
      </c>
      <c r="Z7" s="36">
        <v>1321</v>
      </c>
      <c r="AA7" s="36"/>
      <c r="AB7" t="s">
        <v>53</v>
      </c>
      <c r="AC7" s="34">
        <v>46225</v>
      </c>
    </row>
    <row r="8" spans="1:30" x14ac:dyDescent="0.2">
      <c r="A8">
        <v>5</v>
      </c>
      <c r="B8" s="34">
        <v>46201</v>
      </c>
      <c r="C8" s="35" t="s">
        <v>80</v>
      </c>
      <c r="D8" s="35" t="s">
        <v>81</v>
      </c>
      <c r="E8" s="35" t="s">
        <v>82</v>
      </c>
      <c r="F8" s="35" t="s">
        <v>83</v>
      </c>
      <c r="G8" s="35" t="s">
        <v>44</v>
      </c>
      <c r="H8" s="35" t="s">
        <v>55</v>
      </c>
      <c r="I8" s="35" t="s">
        <v>84</v>
      </c>
      <c r="J8" s="35" t="s">
        <v>47</v>
      </c>
      <c r="K8" s="35" t="s">
        <v>85</v>
      </c>
      <c r="L8" s="34">
        <v>46213</v>
      </c>
      <c r="M8" s="35" t="s">
        <v>86</v>
      </c>
      <c r="N8" s="36">
        <v>12347</v>
      </c>
      <c r="O8" s="34">
        <v>46217</v>
      </c>
      <c r="P8" t="s">
        <v>87</v>
      </c>
      <c r="Q8" s="37">
        <v>46204</v>
      </c>
      <c r="R8" t="s">
        <v>88</v>
      </c>
      <c r="S8" t="s">
        <v>52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s="34">
        <v>46201</v>
      </c>
      <c r="Z8" s="36">
        <v>6845</v>
      </c>
      <c r="AA8" s="36">
        <f t="shared" si="0"/>
        <v>5502</v>
      </c>
      <c r="AB8" t="s">
        <v>53</v>
      </c>
      <c r="AC8" s="34">
        <v>46225</v>
      </c>
      <c r="AD8" t="s">
        <v>53</v>
      </c>
    </row>
  </sheetData>
  <mergeCells count="11">
    <mergeCell ref="A2:I2"/>
    <mergeCell ref="J2:P2"/>
    <mergeCell ref="Q2:S2"/>
    <mergeCell ref="Y2:AA2"/>
    <mergeCell ref="AB2:AC2"/>
    <mergeCell ref="A1:I1"/>
    <mergeCell ref="J1:P1"/>
    <mergeCell ref="Q1:S1"/>
    <mergeCell ref="V1:W1"/>
    <mergeCell ref="Y1:AA1"/>
    <mergeCell ref="AB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Nam Minh</dc:creator>
  <cp:lastModifiedBy>Nguyen Nam Minh</cp:lastModifiedBy>
  <dcterms:created xsi:type="dcterms:W3CDTF">2026-06-29T08:06:39Z</dcterms:created>
  <dcterms:modified xsi:type="dcterms:W3CDTF">2026-06-29T08:07:19Z</dcterms:modified>
</cp:coreProperties>
</file>